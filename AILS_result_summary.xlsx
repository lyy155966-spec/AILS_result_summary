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<sst xmlns="http://schemas.openxmlformats.org/spreadsheetml/2006/main" count="81" uniqueCount="53">
  <si>
    <t>Instance/Algorithm</t>
  </si>
  <si>
    <t>Gurobi</t>
  </si>
  <si>
    <t>ILS</t>
  </si>
  <si>
    <t>AILS</t>
  </si>
  <si>
    <t>LB</t>
  </si>
  <si>
    <t>UB</t>
  </si>
  <si>
    <t>time</t>
  </si>
  <si>
    <t>avg</t>
  </si>
  <si>
    <t>best</t>
  </si>
  <si>
    <t>ESC07</t>
  </si>
  <si>
    <t>ESC12</t>
  </si>
  <si>
    <t>ESC25</t>
  </si>
  <si>
    <t>ESC47</t>
  </si>
  <si>
    <t>ESC63</t>
  </si>
  <si>
    <t>ESC78</t>
  </si>
  <si>
    <t>inf</t>
  </si>
  <si>
    <t>p43.1</t>
  </si>
  <si>
    <t>350.02s</t>
  </si>
  <si>
    <t>p43.2</t>
  </si>
  <si>
    <t>p43.3</t>
  </si>
  <si>
    <t>p43.4</t>
  </si>
  <si>
    <t>ry48p.1</t>
  </si>
  <si>
    <t>ry48p.2</t>
  </si>
  <si>
    <t>ry48p.3</t>
  </si>
  <si>
    <t>ry48p.4</t>
  </si>
  <si>
    <t>ft53.1</t>
  </si>
  <si>
    <t>ft53.2</t>
  </si>
  <si>
    <t>ft53.3</t>
  </si>
  <si>
    <t>ft53.4</t>
  </si>
  <si>
    <t>ft70.1</t>
  </si>
  <si>
    <t>ft70.2</t>
  </si>
  <si>
    <t>ft70.3</t>
  </si>
  <si>
    <t>ft70.4</t>
  </si>
  <si>
    <t>kro124p.1</t>
  </si>
  <si>
    <t>kro124p.2</t>
  </si>
  <si>
    <t>kro124p.3</t>
  </si>
  <si>
    <t>kro124p.4</t>
  </si>
  <si>
    <t>rbg048a</t>
  </si>
  <si>
    <t>rbg050c</t>
  </si>
  <si>
    <t>rbg109a</t>
  </si>
  <si>
    <t>rbg150a</t>
  </si>
  <si>
    <t>rbg174a</t>
  </si>
  <si>
    <t>rbg253a</t>
  </si>
  <si>
    <t>rbg323a</t>
  </si>
  <si>
    <t>rbg341a</t>
  </si>
  <si>
    <t>rbg358a</t>
  </si>
  <si>
    <t>rbg378a</t>
  </si>
  <si>
    <t>prob.100</t>
  </si>
  <si>
    <t>prob.42</t>
  </si>
  <si>
    <t>br17.10</t>
  </si>
  <si>
    <t>#Average</t>
  </si>
  <si>
    <t>#Best</t>
  </si>
  <si>
    <t>#p-value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</si>
</sst>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176" fontId="0" fillId="0" borderId="1" xfId="0" applyNumberFormat="1" applyFont="1" applyFill="1" applyBorder="1" applyAlignment="1">
      <alignment horizontal="left" vertical="center"/>
    </xf>
    <xf numFmtId="0" fontId="0" fillId="0" borderId="0" xfId="0" applyFont="1" applyFill="1" applyAlignment="1">
      <alignment horizontal="right" vertical="center"/>
    </xf>
    <xf numFmtId="0" fontId="0" fillId="0" borderId="0" xfId="0" applyFont="1" applyFill="1" applyAlignment="1">
      <alignment horizontal="left" vertical="center"/>
    </xf>
    <xf numFmtId="176" fontId="0" fillId="0" borderId="0" xfId="0" applyNumberFormat="1" applyFont="1" applyFill="1" applyAlignment="1">
      <alignment horizontal="left" vertical="center"/>
    </xf>
    <xf numFmtId="177" fontId="0" fillId="0" borderId="0" xfId="0" applyNumberForma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176" fontId="3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horizontal="right" vertical="center"/>
    </xf>
    <xf numFmtId="177" fontId="3" fillId="0" borderId="0" xfId="0" applyNumberFormat="1" applyFont="1">
      <alignment vertical="center"/>
    </xf>
    <xf numFmtId="177" fontId="0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11" fontId="0" fillId="0" borderId="3" xfId="0" applyNumberFormat="1" applyFont="1" applyFill="1" applyBorder="1" applyAlignment="1">
      <alignment horizontal="left" vertical="center"/>
    </xf>
    <xf numFmtId="176" fontId="2" fillId="0" borderId="0" xfId="0" applyNumberFormat="1" applyFont="1" applyFill="1" applyAlignment="1">
      <alignment horizontal="left" vertical="center"/>
    </xf>
    <xf numFmtId="177" fontId="0" fillId="0" borderId="3" xfId="0" applyNumberFormat="1" applyFont="1" applyFill="1" applyBorder="1" applyAlignment="1">
      <alignment horizontal="left" vertical="center"/>
    </xf>
    <xf numFmtId="176" fontId="0" fillId="0" borderId="3" xfId="0" applyNumberFormat="1" applyFont="1" applyFill="1" applyBorder="1" applyAlignment="1">
      <alignment horizontal="left" vertical="center"/>
    </xf>
    <xf numFmtId="176" fontId="2" fillId="0" borderId="3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25</xdr:col>
      <xdr:colOff>161925</xdr:colOff>
      <xdr:row>28</xdr:row>
      <xdr:rowOff>142875</xdr:rowOff>
    </xdr:from>
    <xdr:ext cx="308611" cy="172227"/>
    <mc:AlternateContent xmlns:mc="http://schemas.openxmlformats.org/markup-compatibility/2006">
      <mc:Choice xmlns:a14="http://schemas.microsoft.com/office/drawing/2010/main" Requires="a14">
        <xdr:sp>
          <xdr:nvSpPr>
            <xdr:cNvPr id="2" name="文本框 1"/>
            <xdr:cNvSpPr txBox="1"/>
          </xdr:nvSpPr>
          <xdr:spPr>
            <a:xfrm>
              <a:off x="25593675" y="4997450"/>
              <a:ext cx="30861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𝑏𝑒𝑠𝑡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2" name="文本框 1"/>
            <xdr:cNvSpPr txBox="1"/>
          </xdr:nvSpPr>
          <xdr:spPr>
            <a:xfrm>
              <a:off x="25593675" y="4997450"/>
              <a:ext cx="30861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>
                  <a:latin typeface="Cambria Math" panose="02040503050406030204" pitchFamily="18" charset="0"/>
                </a:rPr>
                <a:t>𝑓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zh-CN" altLang="en-US" sz="1100">
                  <a:latin typeface="Cambria Math" panose="02040503050406030204" pitchFamily="18" charset="0"/>
                </a:rPr>
                <a:t>𝑏𝑒𝑠𝑡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24</xdr:col>
      <xdr:colOff>533400</xdr:colOff>
      <xdr:row>23</xdr:row>
      <xdr:rowOff>114300</xdr:rowOff>
    </xdr:from>
    <xdr:ext cx="308611" cy="172227"/>
    <mc:AlternateContent xmlns:mc="http://schemas.openxmlformats.org/markup-compatibility/2006">
      <mc:Choice xmlns:a14="http://schemas.microsoft.com/office/drawing/2010/main" Requires="a14">
        <xdr:sp>
          <xdr:nvSpPr>
            <xdr:cNvPr id="3" name="文本框 2"/>
            <xdr:cNvSpPr txBox="1"/>
          </xdr:nvSpPr>
          <xdr:spPr>
            <a:xfrm>
              <a:off x="25279350" y="4111625"/>
              <a:ext cx="30861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𝑏𝑒𝑠𝑡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3" name="文本框 2"/>
            <xdr:cNvSpPr txBox="1"/>
          </xdr:nvSpPr>
          <xdr:spPr>
            <a:xfrm>
              <a:off x="25279350" y="4111625"/>
              <a:ext cx="30861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>
                  <a:latin typeface="Cambria Math" panose="02040503050406030204" pitchFamily="18" charset="0"/>
                </a:rPr>
                <a:t>𝑓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zh-CN" altLang="en-US" sz="1100">
                  <a:latin typeface="Cambria Math" panose="02040503050406030204" pitchFamily="18" charset="0"/>
                </a:rPr>
                <a:t>𝑏𝑒𝑠𝑡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24</xdr:col>
      <xdr:colOff>523875</xdr:colOff>
      <xdr:row>20</xdr:row>
      <xdr:rowOff>114300</xdr:rowOff>
    </xdr:from>
    <xdr:ext cx="308611" cy="172227"/>
    <mc:AlternateContent xmlns:mc="http://schemas.openxmlformats.org/markup-compatibility/2006">
      <mc:Choice xmlns:a14="http://schemas.microsoft.com/office/drawing/2010/main" Requires="a14">
        <xdr:sp>
          <xdr:nvSpPr>
            <xdr:cNvPr id="4" name="文本框 3"/>
            <xdr:cNvSpPr txBox="1"/>
          </xdr:nvSpPr>
          <xdr:spPr>
            <a:xfrm>
              <a:off x="25269825" y="3590925"/>
              <a:ext cx="30861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𝑏𝑒𝑠𝑡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4" name="文本框 3"/>
            <xdr:cNvSpPr txBox="1"/>
          </xdr:nvSpPr>
          <xdr:spPr>
            <a:xfrm>
              <a:off x="25269825" y="3590925"/>
              <a:ext cx="30861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>
                  <a:latin typeface="Cambria Math" panose="02040503050406030204" pitchFamily="18" charset="0"/>
                </a:rPr>
                <a:t>𝑓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zh-CN" altLang="en-US" sz="1100">
                  <a:latin typeface="Cambria Math" panose="02040503050406030204" pitchFamily="18" charset="0"/>
                </a:rPr>
                <a:t>𝑏𝑒𝑠𝑡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25</xdr:col>
      <xdr:colOff>276225</xdr:colOff>
      <xdr:row>35</xdr:row>
      <xdr:rowOff>66675</xdr:rowOff>
    </xdr:from>
    <xdr:ext cx="308611" cy="172227"/>
    <mc:AlternateContent xmlns:mc="http://schemas.openxmlformats.org/markup-compatibility/2006">
      <mc:Choice xmlns:a14="http://schemas.microsoft.com/office/drawing/2010/main" Requires="a14">
        <xdr:sp>
          <xdr:nvSpPr>
            <xdr:cNvPr id="5" name="文本框 4"/>
            <xdr:cNvSpPr txBox="1"/>
          </xdr:nvSpPr>
          <xdr:spPr>
            <a:xfrm>
              <a:off x="25707975" y="6121400"/>
              <a:ext cx="30861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𝑏𝑒𝑠𝑡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5" name="文本框 4"/>
            <xdr:cNvSpPr txBox="1"/>
          </xdr:nvSpPr>
          <xdr:spPr>
            <a:xfrm>
              <a:off x="25707975" y="6121400"/>
              <a:ext cx="30861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>
                  <a:latin typeface="Cambria Math" panose="02040503050406030204" pitchFamily="18" charset="0"/>
                </a:rPr>
                <a:t>𝑓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zh-CN" altLang="en-US" sz="1100">
                  <a:latin typeface="Cambria Math" panose="02040503050406030204" pitchFamily="18" charset="0"/>
                </a:rPr>
                <a:t>𝑏𝑒𝑠𝑡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24</xdr:col>
      <xdr:colOff>38100</xdr:colOff>
      <xdr:row>17</xdr:row>
      <xdr:rowOff>13970</xdr:rowOff>
    </xdr:from>
    <xdr:ext cx="588169" cy="183320"/>
    <mc:AlternateContent xmlns:mc="http://schemas.openxmlformats.org/markup-compatibility/2006">
      <mc:Choice xmlns:a14="http://schemas.microsoft.com/office/drawing/2010/main" Requires="a14">
        <xdr:sp>
          <xdr:nvSpPr>
            <xdr:cNvPr id="6" name="文本框 5"/>
            <xdr:cNvSpPr txBox="1"/>
          </xdr:nvSpPr>
          <xdr:spPr>
            <a:xfrm>
              <a:off x="24784050" y="2976245"/>
              <a:ext cx="588010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𝜈</m:t>
                        </m:r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6" name="文本框 5"/>
            <xdr:cNvSpPr txBox="1"/>
          </xdr:nvSpPr>
          <xdr:spPr>
            <a:xfrm>
              <a:off x="24784050" y="2976245"/>
              <a:ext cx="588010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zh-CN" altLang="en-US" sz="1100">
                  <a:latin typeface="Cambria Math" panose="02040503050406030204" pitchFamily="18" charset="0"/>
                </a:rPr>
                <a:t>𝑓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zh-CN" altLang="en-US" sz="1100">
                  <a:latin typeface="Cambria Math" panose="02040503050406030204" pitchFamily="18" charset="0"/>
                </a:rPr>
                <a:t>𝑎</a:t>
              </a:r>
              <a:r>
                <a:rPr lang="zh-CN" altLang="en-US" sz="1100">
                  <a:latin typeface="Cambria Math" panose="02040503050406030204" pitchFamily="18" charset="0"/>
                </a:rPr>
                <a:t>𝜈</a:t>
              </a:r>
              <a:r>
                <a:rPr lang="zh-CN" altLang="en-US" sz="1100">
                  <a:latin typeface="Cambria Math" panose="02040503050406030204" pitchFamily="18" charset="0"/>
                </a:rPr>
                <a:t>𝑔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24</xdr:col>
      <xdr:colOff>209550</xdr:colOff>
      <xdr:row>15</xdr:row>
      <xdr:rowOff>47625</xdr:rowOff>
    </xdr:from>
    <xdr:ext cx="588010" cy="182245"/>
    <xdr:sp>
      <xdr:nvSpPr>
        <xdr:cNvPr id="7" name="文本框 6"/>
        <xdr:cNvSpPr txBox="1"/>
      </xdr:nvSpPr>
      <xdr:spPr>
        <a:xfrm>
          <a:off x="24955500" y="2667000"/>
          <a:ext cx="588010" cy="182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25</xdr:col>
      <xdr:colOff>123825</xdr:colOff>
      <xdr:row>32</xdr:row>
      <xdr:rowOff>99695</xdr:rowOff>
    </xdr:from>
    <xdr:ext cx="588169" cy="167445"/>
    <mc:AlternateContent xmlns:mc="http://schemas.openxmlformats.org/markup-compatibility/2006">
      <mc:Choice xmlns:a14="http://schemas.microsoft.com/office/drawing/2010/main" Requires="a14">
        <xdr:sp>
          <xdr:nvSpPr>
            <xdr:cNvPr id="8" name="文本框 7"/>
            <xdr:cNvSpPr txBox="1"/>
          </xdr:nvSpPr>
          <xdr:spPr>
            <a:xfrm>
              <a:off x="25555575" y="5640070"/>
              <a:ext cx="588010" cy="1670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𝜈</m:t>
                        </m:r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8" name="文本框 7"/>
            <xdr:cNvSpPr txBox="1"/>
          </xdr:nvSpPr>
          <xdr:spPr>
            <a:xfrm>
              <a:off x="25555575" y="5640070"/>
              <a:ext cx="588010" cy="1670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zh-CN" altLang="en-US" sz="1100">
                  <a:latin typeface="Cambria Math" panose="02040503050406030204" pitchFamily="18" charset="0"/>
                </a:rPr>
                <a:t>𝑓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zh-CN" altLang="en-US" sz="1100">
                  <a:latin typeface="Cambria Math" panose="02040503050406030204" pitchFamily="18" charset="0"/>
                </a:rPr>
                <a:t>𝑎</a:t>
              </a:r>
              <a:r>
                <a:rPr lang="zh-CN" altLang="en-US" sz="1100">
                  <a:latin typeface="Cambria Math" panose="02040503050406030204" pitchFamily="18" charset="0"/>
                </a:rPr>
                <a:t>𝜈</a:t>
              </a:r>
              <a:r>
                <a:rPr lang="zh-CN" altLang="en-US" sz="1100">
                  <a:latin typeface="Cambria Math" panose="02040503050406030204" pitchFamily="18" charset="0"/>
                </a:rPr>
                <a:t>𝑔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25</xdr:col>
      <xdr:colOff>142875</xdr:colOff>
      <xdr:row>37</xdr:row>
      <xdr:rowOff>57150</xdr:rowOff>
    </xdr:from>
    <xdr:ext cx="588169" cy="183320"/>
    <mc:AlternateContent xmlns:mc="http://schemas.openxmlformats.org/markup-compatibility/2006">
      <mc:Choice xmlns:a14="http://schemas.microsoft.com/office/drawing/2010/main" Requires="a14">
        <xdr:sp>
          <xdr:nvSpPr>
            <xdr:cNvPr id="9" name="文本框 8"/>
            <xdr:cNvSpPr txBox="1"/>
          </xdr:nvSpPr>
          <xdr:spPr>
            <a:xfrm>
              <a:off x="25574625" y="6454775"/>
              <a:ext cx="588010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𝜈</m:t>
                        </m:r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9" name="文本框 8"/>
            <xdr:cNvSpPr txBox="1"/>
          </xdr:nvSpPr>
          <xdr:spPr>
            <a:xfrm>
              <a:off x="25574625" y="6454775"/>
              <a:ext cx="588010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zh-CN" altLang="en-US" sz="1100">
                  <a:latin typeface="Cambria Math" panose="02040503050406030204" pitchFamily="18" charset="0"/>
                </a:rPr>
                <a:t>𝑓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zh-CN" altLang="en-US" sz="1100">
                  <a:latin typeface="Cambria Math" panose="02040503050406030204" pitchFamily="18" charset="0"/>
                </a:rPr>
                <a:t>𝑎</a:t>
              </a:r>
              <a:r>
                <a:rPr lang="zh-CN" altLang="en-US" sz="1100">
                  <a:latin typeface="Cambria Math" panose="02040503050406030204" pitchFamily="18" charset="0"/>
                </a:rPr>
                <a:t>𝜈</a:t>
              </a:r>
              <a:r>
                <a:rPr lang="zh-CN" altLang="en-US" sz="1100">
                  <a:latin typeface="Cambria Math" panose="02040503050406030204" pitchFamily="18" charset="0"/>
                </a:rPr>
                <a:t>𝑔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24</xdr:col>
      <xdr:colOff>123825</xdr:colOff>
      <xdr:row>11</xdr:row>
      <xdr:rowOff>123825</xdr:rowOff>
    </xdr:from>
    <xdr:ext cx="308611" cy="172227"/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9"/>
            <xdr:cNvSpPr txBox="1"/>
          </xdr:nvSpPr>
          <xdr:spPr>
            <a:xfrm>
              <a:off x="24869775" y="2057400"/>
              <a:ext cx="30861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𝑏𝑒𝑠𝑡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0" name="文本框 9"/>
            <xdr:cNvSpPr txBox="1"/>
          </xdr:nvSpPr>
          <xdr:spPr>
            <a:xfrm>
              <a:off x="24869775" y="2057400"/>
              <a:ext cx="30861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>
                  <a:latin typeface="Cambria Math" panose="02040503050406030204" pitchFamily="18" charset="0"/>
                </a:rPr>
                <a:t>𝑓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zh-CN" altLang="en-US" sz="1100">
                  <a:latin typeface="Cambria Math" panose="02040503050406030204" pitchFamily="18" charset="0"/>
                </a:rPr>
                <a:t>𝑏𝑒𝑠𝑡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23</xdr:col>
      <xdr:colOff>495300</xdr:colOff>
      <xdr:row>8</xdr:row>
      <xdr:rowOff>133350</xdr:rowOff>
    </xdr:from>
    <xdr:ext cx="308611" cy="172227"/>
    <mc:AlternateContent xmlns:mc="http://schemas.openxmlformats.org/markup-compatibility/2006">
      <mc:Choice xmlns:a14="http://schemas.microsoft.com/office/drawing/2010/main" Requires="a14">
        <xdr:sp>
          <xdr:nvSpPr>
            <xdr:cNvPr id="12" name="文本框 11"/>
            <xdr:cNvSpPr txBox="1"/>
          </xdr:nvSpPr>
          <xdr:spPr>
            <a:xfrm>
              <a:off x="24555450" y="1552575"/>
              <a:ext cx="30861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𝑏𝑒𝑠𝑡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2" name="文本框 11"/>
            <xdr:cNvSpPr txBox="1"/>
          </xdr:nvSpPr>
          <xdr:spPr>
            <a:xfrm>
              <a:off x="24555450" y="1552575"/>
              <a:ext cx="30861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>
                  <a:latin typeface="Cambria Math" panose="02040503050406030204" pitchFamily="18" charset="0"/>
                </a:rPr>
                <a:t>𝑓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zh-CN" altLang="en-US" sz="1100">
                  <a:latin typeface="Cambria Math" panose="02040503050406030204" pitchFamily="18" charset="0"/>
                </a:rPr>
                <a:t>𝑏𝑒𝑠𝑡</a:t>
              </a:r>
              <a:endParaRPr lang="zh-CN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6"/>
  <sheetViews>
    <sheetView tabSelected="1" zoomScale="130" zoomScaleNormal="130" workbookViewId="0">
      <selection activeCell="I21" sqref="I21"/>
    </sheetView>
  </sheetViews>
  <sheetFormatPr defaultColWidth="9" defaultRowHeight="13.5"/>
  <cols>
    <col min="1" max="1" width="21.375" customWidth="1"/>
    <col min="2" max="2" width="9" customWidth="1"/>
    <col min="3" max="3" width="17.125" customWidth="1"/>
    <col min="4" max="4" width="11.75" customWidth="1"/>
    <col min="5" max="5" width="11.625" customWidth="1"/>
    <col min="6" max="7" width="16.25" customWidth="1"/>
    <col min="8" max="8" width="24.25" customWidth="1"/>
    <col min="9" max="9" width="18.375" customWidth="1"/>
    <col min="10" max="10" width="16.25" customWidth="1"/>
    <col min="11" max="11" width="15.25" customWidth="1"/>
    <col min="12" max="12" width="25.75" customWidth="1"/>
    <col min="13" max="13" width="9.375"/>
    <col min="17" max="19" width="11.625"/>
    <col min="21" max="22" width="11.625"/>
  </cols>
  <sheetData>
    <row r="1" ht="15" spans="1:12">
      <c r="A1" s="2" t="s">
        <v>0</v>
      </c>
      <c r="B1" s="3" t="s">
        <v>1</v>
      </c>
      <c r="C1" s="3"/>
      <c r="D1" s="3"/>
      <c r="E1" s="2"/>
      <c r="F1" s="3" t="s">
        <v>2</v>
      </c>
      <c r="G1" s="3"/>
      <c r="H1" s="3"/>
      <c r="I1" s="2"/>
      <c r="J1" s="3" t="s">
        <v>3</v>
      </c>
      <c r="K1" s="3"/>
      <c r="L1" s="3"/>
    </row>
    <row r="2" ht="15" spans="1:12">
      <c r="A2" s="4"/>
      <c r="B2" s="4" t="s">
        <v>4</v>
      </c>
      <c r="C2" s="4" t="s">
        <v>5</v>
      </c>
      <c r="D2" s="4" t="s">
        <v>6</v>
      </c>
      <c r="E2" s="4"/>
      <c r="F2" s="4" t="s">
        <v>7</v>
      </c>
      <c r="G2" s="4" t="s">
        <v>8</v>
      </c>
      <c r="H2" s="4" t="s">
        <v>6</v>
      </c>
      <c r="I2" s="4"/>
      <c r="J2" s="4" t="s">
        <v>7</v>
      </c>
      <c r="K2" s="4" t="s">
        <v>8</v>
      </c>
      <c r="L2" s="4" t="s">
        <v>6</v>
      </c>
    </row>
    <row r="3" ht="14.25" spans="1:12">
      <c r="A3" t="s">
        <v>9</v>
      </c>
      <c r="B3" s="5">
        <v>1729.79</v>
      </c>
      <c r="C3" s="6">
        <v>1729.79</v>
      </c>
      <c r="D3" s="7">
        <v>14400</v>
      </c>
      <c r="E3" s="2"/>
      <c r="F3" s="8">
        <v>1729.79</v>
      </c>
      <c r="G3" s="8">
        <v>1729.79</v>
      </c>
      <c r="H3" s="9">
        <v>1.889</v>
      </c>
      <c r="I3" s="10"/>
      <c r="J3" s="8">
        <v>1729.79</v>
      </c>
      <c r="K3" s="8">
        <v>1729.79</v>
      </c>
      <c r="L3" s="11">
        <v>1.898</v>
      </c>
    </row>
    <row r="4" spans="1:12">
      <c r="A4" t="s">
        <v>10</v>
      </c>
      <c r="B4">
        <v>1276.71</v>
      </c>
      <c r="C4" s="7">
        <v>1390.67</v>
      </c>
      <c r="D4" s="7">
        <v>14400</v>
      </c>
      <c r="E4" s="12"/>
      <c r="F4" s="9">
        <v>1400.22</v>
      </c>
      <c r="G4" s="9">
        <v>1390.67</v>
      </c>
      <c r="H4" s="9">
        <v>4.219</v>
      </c>
      <c r="I4" s="13"/>
      <c r="J4" s="8">
        <v>1391.35</v>
      </c>
      <c r="K4" s="8">
        <v>1389.77</v>
      </c>
      <c r="L4" s="11">
        <v>4.464</v>
      </c>
    </row>
    <row r="5" spans="1:12">
      <c r="A5" t="s">
        <v>11</v>
      </c>
      <c r="B5">
        <v>1070.61</v>
      </c>
      <c r="C5" s="7">
        <v>1385.14</v>
      </c>
      <c r="D5" s="7">
        <v>14400</v>
      </c>
      <c r="E5" s="12"/>
      <c r="F5" s="9">
        <v>1406.86</v>
      </c>
      <c r="G5" s="9">
        <v>1388.98</v>
      </c>
      <c r="H5" s="9">
        <v>12.58</v>
      </c>
      <c r="I5" s="13"/>
      <c r="J5" s="8">
        <v>1406.34</v>
      </c>
      <c r="K5" s="8">
        <v>1383.15</v>
      </c>
      <c r="L5" s="11">
        <v>17.382</v>
      </c>
    </row>
    <row r="6" spans="1:12">
      <c r="A6" t="s">
        <v>12</v>
      </c>
      <c r="B6">
        <v>758.92</v>
      </c>
      <c r="C6" s="7">
        <v>1661.64</v>
      </c>
      <c r="D6" s="7">
        <v>14400</v>
      </c>
      <c r="E6" s="12"/>
      <c r="F6" s="9">
        <v>1552.75</v>
      </c>
      <c r="G6" s="9">
        <v>1414.64</v>
      </c>
      <c r="H6" s="9">
        <v>61.187</v>
      </c>
      <c r="I6" s="13"/>
      <c r="J6" s="8">
        <v>1519.99</v>
      </c>
      <c r="K6" s="8">
        <v>1330.06</v>
      </c>
      <c r="L6" s="11">
        <v>55.75</v>
      </c>
    </row>
    <row r="7" spans="1:12">
      <c r="A7" t="s">
        <v>13</v>
      </c>
      <c r="B7">
        <v>44.15</v>
      </c>
      <c r="C7" s="7">
        <v>53.61</v>
      </c>
      <c r="D7" s="7">
        <v>14400</v>
      </c>
      <c r="E7" s="12"/>
      <c r="F7" s="9">
        <v>51.15</v>
      </c>
      <c r="G7" s="9">
        <v>50.9</v>
      </c>
      <c r="H7" s="9">
        <v>114.756</v>
      </c>
      <c r="I7" s="13"/>
      <c r="J7" s="8">
        <v>51.13</v>
      </c>
      <c r="K7" s="8">
        <v>50.85</v>
      </c>
      <c r="L7" s="11">
        <v>114.269</v>
      </c>
    </row>
    <row r="8" spans="1:12">
      <c r="A8" t="s">
        <v>14</v>
      </c>
      <c r="B8">
        <v>7555.04</v>
      </c>
      <c r="C8" s="7" t="s">
        <v>15</v>
      </c>
      <c r="D8" s="7">
        <v>14400</v>
      </c>
      <c r="E8" s="12"/>
      <c r="F8" s="9">
        <v>15109.91</v>
      </c>
      <c r="G8" s="8">
        <v>14963</v>
      </c>
      <c r="H8" s="9">
        <v>137.827</v>
      </c>
      <c r="I8" s="13"/>
      <c r="J8" s="8">
        <v>15108.09</v>
      </c>
      <c r="K8" s="9">
        <v>15046.4</v>
      </c>
      <c r="L8" s="11">
        <v>146.494</v>
      </c>
    </row>
    <row r="9" spans="1:12">
      <c r="A9" t="s">
        <v>16</v>
      </c>
      <c r="B9">
        <v>620.81</v>
      </c>
      <c r="C9" s="7">
        <v>22612.18</v>
      </c>
      <c r="D9" s="7">
        <v>14400</v>
      </c>
      <c r="E9" s="12"/>
      <c r="F9" s="9">
        <v>22595.32</v>
      </c>
      <c r="G9" s="9">
        <v>22556.5</v>
      </c>
      <c r="H9" s="9">
        <v>41.852</v>
      </c>
      <c r="I9" s="13"/>
      <c r="J9" s="8">
        <v>22569.77</v>
      </c>
      <c r="K9" s="8">
        <v>22550.1</v>
      </c>
      <c r="L9" s="11" t="s">
        <v>17</v>
      </c>
    </row>
    <row r="10" spans="1:12">
      <c r="A10" t="s">
        <v>18</v>
      </c>
      <c r="B10">
        <v>737.03</v>
      </c>
      <c r="C10" s="7" t="s">
        <v>15</v>
      </c>
      <c r="D10" s="7">
        <v>14400</v>
      </c>
      <c r="E10" s="12"/>
      <c r="F10" s="9">
        <v>22860.27</v>
      </c>
      <c r="G10" s="8">
        <v>22842.1</v>
      </c>
      <c r="H10" s="9">
        <v>36.144</v>
      </c>
      <c r="I10" s="13"/>
      <c r="J10" s="8">
        <v>22859.34</v>
      </c>
      <c r="K10" s="9">
        <v>22842.2</v>
      </c>
      <c r="L10" s="11">
        <v>35.74</v>
      </c>
    </row>
    <row r="11" spans="1:12">
      <c r="A11" t="s">
        <v>19</v>
      </c>
      <c r="B11">
        <v>665.06</v>
      </c>
      <c r="C11" s="7" t="s">
        <v>15</v>
      </c>
      <c r="D11" s="7">
        <v>14400</v>
      </c>
      <c r="E11" s="12"/>
      <c r="F11" s="9">
        <v>25281.39</v>
      </c>
      <c r="G11" s="9">
        <v>23123.9</v>
      </c>
      <c r="H11" s="9">
        <v>35.851</v>
      </c>
      <c r="I11" s="13"/>
      <c r="J11" s="8">
        <v>23142.16</v>
      </c>
      <c r="K11" s="8">
        <v>23122.5</v>
      </c>
      <c r="L11" s="11">
        <v>32.31</v>
      </c>
    </row>
    <row r="12" spans="1:12">
      <c r="A12" t="s">
        <v>20</v>
      </c>
      <c r="B12" s="14">
        <v>1381.8</v>
      </c>
      <c r="C12" s="7" t="s">
        <v>15</v>
      </c>
      <c r="D12" s="7">
        <v>14400</v>
      </c>
      <c r="E12" s="12"/>
      <c r="F12" s="9">
        <v>66945.74</v>
      </c>
      <c r="G12" s="9">
        <v>66876.8</v>
      </c>
      <c r="H12" s="9">
        <v>47.507</v>
      </c>
      <c r="I12" s="13"/>
      <c r="J12" s="8">
        <v>66909.81</v>
      </c>
      <c r="K12" s="8">
        <v>66867</v>
      </c>
      <c r="L12" s="11">
        <v>46.764</v>
      </c>
    </row>
    <row r="13" spans="1:12">
      <c r="A13" t="s">
        <v>21</v>
      </c>
      <c r="B13">
        <v>10978.4</v>
      </c>
      <c r="C13" s="7">
        <v>14648.35</v>
      </c>
      <c r="D13" s="7">
        <v>14400</v>
      </c>
      <c r="E13" s="12"/>
      <c r="F13" s="9">
        <v>13339.02</v>
      </c>
      <c r="G13" s="8">
        <v>13165.5</v>
      </c>
      <c r="H13" s="9">
        <v>43.722</v>
      </c>
      <c r="I13" s="13"/>
      <c r="J13" s="8">
        <v>13224.44</v>
      </c>
      <c r="K13" s="9">
        <v>13169.1</v>
      </c>
      <c r="L13" s="11">
        <v>44.496</v>
      </c>
    </row>
    <row r="14" spans="1:12">
      <c r="A14" t="s">
        <v>22</v>
      </c>
      <c r="B14">
        <v>11004.45</v>
      </c>
      <c r="C14" s="7" t="s">
        <v>15</v>
      </c>
      <c r="D14" s="7">
        <v>14400</v>
      </c>
      <c r="E14" s="12"/>
      <c r="F14" s="9">
        <v>14056.23</v>
      </c>
      <c r="G14" s="9">
        <v>14001.6</v>
      </c>
      <c r="H14" s="9">
        <v>42.228</v>
      </c>
      <c r="I14" s="13"/>
      <c r="J14" s="8">
        <v>14035.55</v>
      </c>
      <c r="K14" s="8">
        <v>13987.2</v>
      </c>
      <c r="L14" s="11">
        <v>46.96</v>
      </c>
    </row>
    <row r="15" spans="1:12">
      <c r="A15" t="s">
        <v>23</v>
      </c>
      <c r="B15">
        <v>11253.74</v>
      </c>
      <c r="C15" s="7" t="s">
        <v>15</v>
      </c>
      <c r="D15" s="7">
        <v>14400</v>
      </c>
      <c r="E15" s="12"/>
      <c r="F15" s="8">
        <v>16838.33</v>
      </c>
      <c r="G15" s="9">
        <v>16613.6</v>
      </c>
      <c r="H15" s="9">
        <v>46.785</v>
      </c>
      <c r="I15" s="13"/>
      <c r="J15" s="9">
        <v>16849.74</v>
      </c>
      <c r="K15" s="8">
        <v>16582.3</v>
      </c>
      <c r="L15" s="11">
        <v>47.561</v>
      </c>
    </row>
    <row r="16" spans="1:12">
      <c r="A16" t="s">
        <v>24</v>
      </c>
      <c r="B16">
        <v>14322.63</v>
      </c>
      <c r="C16" s="7" t="s">
        <v>15</v>
      </c>
      <c r="D16" s="7">
        <v>14400</v>
      </c>
      <c r="E16" s="12"/>
      <c r="F16" s="8">
        <v>26202.9</v>
      </c>
      <c r="G16" s="9">
        <v>26143.9</v>
      </c>
      <c r="H16" s="9">
        <v>36.447</v>
      </c>
      <c r="I16" s="13"/>
      <c r="J16" s="9">
        <v>26244.82</v>
      </c>
      <c r="K16" s="8">
        <v>26119.4</v>
      </c>
      <c r="L16" s="11">
        <v>40.11</v>
      </c>
    </row>
    <row r="17" spans="1:12">
      <c r="A17" t="s">
        <v>25</v>
      </c>
      <c r="B17">
        <v>4933.17</v>
      </c>
      <c r="C17" s="7">
        <v>6274.51</v>
      </c>
      <c r="D17" s="7">
        <v>14400</v>
      </c>
      <c r="E17" s="12"/>
      <c r="F17" s="9">
        <v>6510.44</v>
      </c>
      <c r="G17" s="9">
        <v>6314.91</v>
      </c>
      <c r="H17" s="9">
        <v>65.483</v>
      </c>
      <c r="I17" s="13"/>
      <c r="J17" s="8">
        <v>6238.94</v>
      </c>
      <c r="K17" s="8">
        <v>6210.84</v>
      </c>
      <c r="L17" s="11">
        <v>70.294</v>
      </c>
    </row>
    <row r="18" spans="1:12">
      <c r="A18" t="s">
        <v>26</v>
      </c>
      <c r="B18">
        <v>4983.31</v>
      </c>
      <c r="C18" s="7">
        <v>11580.53</v>
      </c>
      <c r="D18" s="7">
        <v>14400</v>
      </c>
      <c r="E18" s="12"/>
      <c r="F18" s="9">
        <v>6970.14</v>
      </c>
      <c r="G18" s="9">
        <v>6702.31</v>
      </c>
      <c r="H18" s="9">
        <v>64.632</v>
      </c>
      <c r="I18" s="13"/>
      <c r="J18" s="8">
        <v>6818.17</v>
      </c>
      <c r="K18" s="8">
        <v>6643.46</v>
      </c>
      <c r="L18" s="11">
        <v>71.431</v>
      </c>
    </row>
    <row r="19" spans="1:12">
      <c r="A19" t="s">
        <v>27</v>
      </c>
      <c r="B19">
        <v>5048.94</v>
      </c>
      <c r="C19" s="7" t="s">
        <v>15</v>
      </c>
      <c r="D19" s="7">
        <v>14400</v>
      </c>
      <c r="E19" s="12"/>
      <c r="F19" s="9">
        <v>8752.67</v>
      </c>
      <c r="G19" s="9">
        <v>8469.43</v>
      </c>
      <c r="H19" s="9">
        <v>55.988</v>
      </c>
      <c r="I19" s="13"/>
      <c r="J19" s="8">
        <v>8508.59</v>
      </c>
      <c r="K19" s="8">
        <v>8469.21</v>
      </c>
      <c r="L19" s="11">
        <v>66.119</v>
      </c>
    </row>
    <row r="20" spans="1:12">
      <c r="A20" t="s">
        <v>28</v>
      </c>
      <c r="B20">
        <v>6297.54</v>
      </c>
      <c r="C20" s="7" t="s">
        <v>15</v>
      </c>
      <c r="D20" s="7">
        <v>14400</v>
      </c>
      <c r="E20" s="12"/>
      <c r="F20" s="8">
        <v>11871.64</v>
      </c>
      <c r="G20" s="9">
        <v>11842.5</v>
      </c>
      <c r="H20" s="9">
        <v>58.752</v>
      </c>
      <c r="I20" s="13"/>
      <c r="J20" s="9">
        <v>11882.65</v>
      </c>
      <c r="K20" s="8">
        <v>11841.6</v>
      </c>
      <c r="L20" s="11">
        <v>63.627</v>
      </c>
    </row>
    <row r="21" spans="1:12">
      <c r="A21" t="s">
        <v>29</v>
      </c>
      <c r="B21">
        <v>31509.61</v>
      </c>
      <c r="C21" s="7">
        <v>33427.17</v>
      </c>
      <c r="D21" s="7">
        <v>14400</v>
      </c>
      <c r="E21" s="12"/>
      <c r="F21" s="9">
        <v>33273.54</v>
      </c>
      <c r="G21" s="9">
        <v>33134.7</v>
      </c>
      <c r="H21" s="9">
        <v>129.224</v>
      </c>
      <c r="I21" s="13"/>
      <c r="J21" s="8">
        <v>32939.62</v>
      </c>
      <c r="K21" s="8">
        <v>32765.4</v>
      </c>
      <c r="L21" s="11">
        <v>124.111</v>
      </c>
    </row>
    <row r="22" spans="1:12">
      <c r="A22" t="s">
        <v>30</v>
      </c>
      <c r="B22">
        <v>31650.66</v>
      </c>
      <c r="C22" s="7" t="s">
        <v>15</v>
      </c>
      <c r="D22" s="7">
        <v>14400</v>
      </c>
      <c r="E22" s="12"/>
      <c r="F22" s="9">
        <v>34581</v>
      </c>
      <c r="G22" s="9">
        <v>34258.8</v>
      </c>
      <c r="H22" s="9">
        <v>114.039</v>
      </c>
      <c r="I22" s="13"/>
      <c r="J22" s="8">
        <v>34084.37</v>
      </c>
      <c r="K22" s="8">
        <v>33767.7</v>
      </c>
      <c r="L22" s="11">
        <v>115.348</v>
      </c>
    </row>
    <row r="23" ht="14" customHeight="1" spans="1:12">
      <c r="A23" t="s">
        <v>31</v>
      </c>
      <c r="B23">
        <v>32146.8</v>
      </c>
      <c r="C23" s="7" t="s">
        <v>15</v>
      </c>
      <c r="D23" s="7">
        <v>14400</v>
      </c>
      <c r="E23" s="12"/>
      <c r="F23" s="9">
        <v>36376.4</v>
      </c>
      <c r="G23" s="9">
        <v>35525.6</v>
      </c>
      <c r="H23" s="9">
        <v>116.258</v>
      </c>
      <c r="I23" s="13"/>
      <c r="J23" s="8">
        <v>36055.95</v>
      </c>
      <c r="K23" s="8">
        <v>35499.2</v>
      </c>
      <c r="L23" s="11">
        <v>130.852</v>
      </c>
    </row>
    <row r="24" spans="1:12">
      <c r="A24" t="s">
        <v>32</v>
      </c>
      <c r="B24">
        <v>35378.23</v>
      </c>
      <c r="C24" s="7" t="s">
        <v>15</v>
      </c>
      <c r="D24" s="7">
        <v>14400</v>
      </c>
      <c r="E24" s="12"/>
      <c r="F24" s="9">
        <v>45050.57</v>
      </c>
      <c r="G24" s="8">
        <v>44795.3</v>
      </c>
      <c r="H24" s="9">
        <v>107.033</v>
      </c>
      <c r="I24" s="13"/>
      <c r="J24" s="8">
        <v>45047.34</v>
      </c>
      <c r="K24" s="9">
        <v>44884</v>
      </c>
      <c r="L24" s="11">
        <v>112.522</v>
      </c>
    </row>
    <row r="25" spans="1:12">
      <c r="A25" t="s">
        <v>33</v>
      </c>
      <c r="B25">
        <v>28809.19</v>
      </c>
      <c r="C25" s="7" t="s">
        <v>15</v>
      </c>
      <c r="D25" s="7">
        <v>14400</v>
      </c>
      <c r="E25" s="12"/>
      <c r="F25" s="9">
        <v>36447.65</v>
      </c>
      <c r="G25" s="9">
        <v>34926</v>
      </c>
      <c r="H25" s="9">
        <v>174.624</v>
      </c>
      <c r="I25" s="13"/>
      <c r="J25" s="8">
        <v>33778.38</v>
      </c>
      <c r="K25" s="8">
        <v>33237.3</v>
      </c>
      <c r="L25" s="11">
        <v>218.722</v>
      </c>
    </row>
    <row r="26" spans="1:12">
      <c r="A26" t="s">
        <v>34</v>
      </c>
      <c r="B26">
        <v>28840.31</v>
      </c>
      <c r="C26" s="7" t="s">
        <v>15</v>
      </c>
      <c r="D26" s="7">
        <v>14400</v>
      </c>
      <c r="E26" s="12"/>
      <c r="F26" s="9">
        <v>36769.74</v>
      </c>
      <c r="G26" s="9">
        <v>34942.3</v>
      </c>
      <c r="H26" s="9">
        <v>155.602</v>
      </c>
      <c r="I26" s="13"/>
      <c r="J26" s="8">
        <v>35554.01</v>
      </c>
      <c r="K26" s="8">
        <v>34711.5</v>
      </c>
      <c r="L26" s="11">
        <v>189.266</v>
      </c>
    </row>
    <row r="27" spans="1:12">
      <c r="A27" t="s">
        <v>35</v>
      </c>
      <c r="B27">
        <v>28952.61</v>
      </c>
      <c r="C27" s="7" t="s">
        <v>15</v>
      </c>
      <c r="D27" s="7">
        <v>14400</v>
      </c>
      <c r="E27" s="12"/>
      <c r="F27" s="9">
        <v>44928.82</v>
      </c>
      <c r="G27" s="9">
        <v>42596.7</v>
      </c>
      <c r="H27" s="9">
        <v>175.428</v>
      </c>
      <c r="I27" s="13"/>
      <c r="J27" s="8">
        <v>42967.36</v>
      </c>
      <c r="K27" s="8">
        <v>41997.2</v>
      </c>
      <c r="L27" s="11">
        <v>159.511</v>
      </c>
    </row>
    <row r="28" spans="1:12">
      <c r="A28" t="s">
        <v>36</v>
      </c>
      <c r="B28">
        <v>33980.65</v>
      </c>
      <c r="C28" s="7" t="s">
        <v>15</v>
      </c>
      <c r="D28" s="7">
        <v>14400</v>
      </c>
      <c r="E28" s="12"/>
      <c r="F28" s="9">
        <v>66085.42</v>
      </c>
      <c r="G28" s="9">
        <v>64298.2</v>
      </c>
      <c r="H28" s="9">
        <v>149.558</v>
      </c>
      <c r="I28" s="13"/>
      <c r="J28" s="8">
        <v>64372.06</v>
      </c>
      <c r="K28" s="8">
        <v>63770.2</v>
      </c>
      <c r="L28" s="11">
        <v>127.954</v>
      </c>
    </row>
    <row r="29" spans="1:12">
      <c r="A29" t="s">
        <v>37</v>
      </c>
      <c r="B29">
        <v>265.19</v>
      </c>
      <c r="C29">
        <v>285.81</v>
      </c>
      <c r="D29" s="7">
        <v>14400</v>
      </c>
      <c r="E29" s="12"/>
      <c r="F29" s="9">
        <v>287.2</v>
      </c>
      <c r="G29" s="9">
        <v>286.25</v>
      </c>
      <c r="H29" s="9">
        <v>50.098</v>
      </c>
      <c r="I29" s="13"/>
      <c r="J29" s="8">
        <v>286.52</v>
      </c>
      <c r="K29" s="8">
        <v>285.09</v>
      </c>
      <c r="L29" s="11">
        <v>46.494</v>
      </c>
    </row>
    <row r="30" spans="1:12">
      <c r="A30" t="s">
        <v>38</v>
      </c>
      <c r="B30">
        <v>388.39</v>
      </c>
      <c r="C30">
        <v>388.39</v>
      </c>
      <c r="D30" s="7">
        <v>14400</v>
      </c>
      <c r="E30" s="12"/>
      <c r="F30" s="9">
        <v>385.81</v>
      </c>
      <c r="G30" s="8">
        <v>383.45</v>
      </c>
      <c r="H30" s="9">
        <v>59.289</v>
      </c>
      <c r="I30" s="13"/>
      <c r="J30" s="8">
        <v>385.61</v>
      </c>
      <c r="K30" s="9">
        <v>383.79</v>
      </c>
      <c r="L30" s="11">
        <v>62.632</v>
      </c>
    </row>
    <row r="31" s="1" customFormat="1" spans="1:12">
      <c r="A31" s="15" t="s">
        <v>39</v>
      </c>
      <c r="B31" s="15">
        <v>783.55</v>
      </c>
      <c r="C31" s="16" t="s">
        <v>15</v>
      </c>
      <c r="D31" s="16">
        <v>14400</v>
      </c>
      <c r="E31" s="17"/>
      <c r="F31" s="18">
        <v>871.5</v>
      </c>
      <c r="G31" s="18">
        <v>865.03</v>
      </c>
      <c r="H31" s="19">
        <v>279.75</v>
      </c>
      <c r="I31" s="20"/>
      <c r="J31" s="19">
        <v>874.22</v>
      </c>
      <c r="K31" s="19">
        <v>868.41</v>
      </c>
      <c r="L31" s="21">
        <v>309.348</v>
      </c>
    </row>
    <row r="32" spans="1:12">
      <c r="A32" s="15" t="s">
        <v>40</v>
      </c>
      <c r="B32" s="15">
        <v>1328.15</v>
      </c>
      <c r="C32" s="16" t="s">
        <v>15</v>
      </c>
      <c r="D32" s="16">
        <v>14400</v>
      </c>
      <c r="E32" s="17"/>
      <c r="F32" s="18">
        <v>1458.71</v>
      </c>
      <c r="G32" s="19">
        <v>1451.99</v>
      </c>
      <c r="H32" s="19">
        <v>501.138</v>
      </c>
      <c r="I32" s="20"/>
      <c r="J32" s="19">
        <v>1460.41</v>
      </c>
      <c r="K32" s="18">
        <v>1451.56</v>
      </c>
      <c r="L32" s="21">
        <v>530.127</v>
      </c>
    </row>
    <row r="33" spans="1:23">
      <c r="A33" s="15" t="s">
        <v>41</v>
      </c>
      <c r="B33" s="22">
        <v>1549.8</v>
      </c>
      <c r="C33" s="16" t="s">
        <v>15</v>
      </c>
      <c r="D33" s="16">
        <v>14400</v>
      </c>
      <c r="E33" s="17"/>
      <c r="F33" s="19">
        <v>1707.87</v>
      </c>
      <c r="G33" s="19">
        <v>1696.92</v>
      </c>
      <c r="H33" s="19">
        <v>666.784</v>
      </c>
      <c r="I33" s="20"/>
      <c r="J33" s="18">
        <v>1703.34</v>
      </c>
      <c r="K33" s="18">
        <v>1654.72</v>
      </c>
      <c r="L33" s="19">
        <v>726.261</v>
      </c>
    </row>
    <row r="34" spans="1:23">
      <c r="A34" s="15" t="s">
        <v>42</v>
      </c>
      <c r="B34" s="15">
        <v>2236.55</v>
      </c>
      <c r="C34" s="16" t="s">
        <v>15</v>
      </c>
      <c r="D34" s="16">
        <v>14400</v>
      </c>
      <c r="E34" s="17"/>
      <c r="F34" s="19">
        <v>2476.99</v>
      </c>
      <c r="G34" s="19">
        <v>2468.97</v>
      </c>
      <c r="H34" s="19">
        <v>1921.653</v>
      </c>
      <c r="I34" s="20"/>
      <c r="J34" s="18">
        <v>2473.91</v>
      </c>
      <c r="K34" s="18">
        <v>2458.5</v>
      </c>
      <c r="L34" s="19">
        <v>1643.222</v>
      </c>
    </row>
    <row r="35" spans="1:23">
      <c r="A35" s="15" t="s">
        <v>43</v>
      </c>
      <c r="B35" s="15">
        <v>2370.52</v>
      </c>
      <c r="C35" s="16" t="s">
        <v>15</v>
      </c>
      <c r="D35" s="16">
        <v>14400</v>
      </c>
      <c r="E35" s="17"/>
      <c r="F35" s="19">
        <v>2699.67</v>
      </c>
      <c r="G35" s="19">
        <v>2688</v>
      </c>
      <c r="H35" s="19">
        <v>3713.324</v>
      </c>
      <c r="I35" s="20"/>
      <c r="J35" s="18">
        <v>2689.13</v>
      </c>
      <c r="K35" s="18">
        <v>2668.2</v>
      </c>
      <c r="L35" s="19">
        <v>1859.313</v>
      </c>
    </row>
    <row r="36" spans="1:23">
      <c r="A36" s="15" t="s">
        <v>44</v>
      </c>
      <c r="B36" s="15">
        <v>1746.58</v>
      </c>
      <c r="C36" s="16" t="s">
        <v>15</v>
      </c>
      <c r="D36" s="16">
        <v>14400</v>
      </c>
      <c r="E36" s="17"/>
      <c r="F36" s="19">
        <v>2301.92</v>
      </c>
      <c r="G36" s="19">
        <v>2263.07</v>
      </c>
      <c r="H36" s="19">
        <v>4371.184</v>
      </c>
      <c r="I36" s="20"/>
      <c r="J36" s="18">
        <v>2295.27</v>
      </c>
      <c r="K36" s="18">
        <v>2262.83</v>
      </c>
      <c r="L36" s="19">
        <v>1897.607</v>
      </c>
    </row>
    <row r="37" spans="1:23">
      <c r="A37" s="15" t="s">
        <v>45</v>
      </c>
      <c r="B37" s="15">
        <v>1811.13</v>
      </c>
      <c r="C37" s="16" t="s">
        <v>15</v>
      </c>
      <c r="D37" s="16">
        <v>14400</v>
      </c>
      <c r="E37" s="17"/>
      <c r="F37" s="18">
        <v>2327.88</v>
      </c>
      <c r="G37" s="19">
        <v>2290.22</v>
      </c>
      <c r="H37" s="19">
        <v>3924.555</v>
      </c>
      <c r="I37" s="20"/>
      <c r="J37" s="19">
        <v>2328.81</v>
      </c>
      <c r="K37" s="18">
        <v>2279.19</v>
      </c>
      <c r="L37" s="19">
        <v>2248.586</v>
      </c>
    </row>
    <row r="38" spans="1:23">
      <c r="A38" s="15" t="s">
        <v>46</v>
      </c>
      <c r="B38" s="15">
        <v>1828.27</v>
      </c>
      <c r="C38" s="16" t="s">
        <v>15</v>
      </c>
      <c r="D38" s="16">
        <v>14400</v>
      </c>
      <c r="E38" s="17"/>
      <c r="F38" s="19">
        <v>2536.72</v>
      </c>
      <c r="G38" s="19">
        <v>2473.51</v>
      </c>
      <c r="H38" s="19">
        <v>4675.279</v>
      </c>
      <c r="I38" s="20"/>
      <c r="J38" s="18">
        <v>2530.3</v>
      </c>
      <c r="K38" s="18">
        <v>2469.95</v>
      </c>
      <c r="L38" s="19">
        <v>2587.795</v>
      </c>
    </row>
    <row r="39" s="1" customFormat="1" spans="1:23">
      <c r="A39" s="15" t="s">
        <v>47</v>
      </c>
      <c r="B39" s="15">
        <v>698.56</v>
      </c>
      <c r="C39" s="16" t="s">
        <v>15</v>
      </c>
      <c r="D39" s="16">
        <v>14400</v>
      </c>
      <c r="E39" s="17"/>
      <c r="F39" s="19">
        <v>1997.8</v>
      </c>
      <c r="G39" s="19">
        <v>1873.57</v>
      </c>
      <c r="H39" s="19">
        <v>183.69</v>
      </c>
      <c r="I39" s="20"/>
      <c r="J39" s="18">
        <v>1926.63</v>
      </c>
      <c r="K39" s="18">
        <v>1748.02</v>
      </c>
      <c r="L39" s="19">
        <v>231.78</v>
      </c>
    </row>
    <row r="40" spans="1:23">
      <c r="A40" t="s">
        <v>48</v>
      </c>
      <c r="B40">
        <v>172.07</v>
      </c>
      <c r="C40">
        <v>214.23</v>
      </c>
      <c r="D40" s="7">
        <v>14400</v>
      </c>
      <c r="E40" s="12"/>
      <c r="F40" s="9">
        <v>214.95</v>
      </c>
      <c r="G40" s="9">
        <v>204.76</v>
      </c>
      <c r="H40" s="9">
        <v>34.965</v>
      </c>
      <c r="I40" s="13"/>
      <c r="J40" s="8">
        <v>213.21</v>
      </c>
      <c r="K40" s="8">
        <v>202.76</v>
      </c>
      <c r="L40" s="9">
        <v>43.13</v>
      </c>
    </row>
    <row r="41" spans="1:23">
      <c r="A41" t="s">
        <v>49</v>
      </c>
      <c r="B41">
        <v>8.93</v>
      </c>
      <c r="C41">
        <v>44.82</v>
      </c>
      <c r="D41" s="7">
        <v>14400</v>
      </c>
      <c r="E41" s="12"/>
      <c r="F41" s="9">
        <v>44.37</v>
      </c>
      <c r="G41" s="8">
        <v>44.28</v>
      </c>
      <c r="H41" s="9">
        <v>6.323</v>
      </c>
      <c r="I41" s="13"/>
      <c r="J41" s="8">
        <v>44.31</v>
      </c>
      <c r="K41" s="8">
        <v>44.28</v>
      </c>
      <c r="L41" s="9">
        <v>7.095</v>
      </c>
    </row>
    <row r="42" spans="1:23">
      <c r="A42" s="12" t="s">
        <v>50</v>
      </c>
      <c r="B42" s="12"/>
      <c r="C42" s="23"/>
      <c r="D42" s="23"/>
      <c r="E42" s="12"/>
      <c r="F42">
        <f>SUM(F3:F41)/39</f>
        <v>15802.5461538462</v>
      </c>
      <c r="G42">
        <f>SUM(G3:G41)/39</f>
        <v>15463.0423076923</v>
      </c>
      <c r="H42">
        <f>SUM(H3:H41)/39</f>
        <v>574.811461538462</v>
      </c>
      <c r="I42" s="13"/>
      <c r="J42">
        <f>SUM(J3:J41)/39</f>
        <v>15500.0366666667</v>
      </c>
      <c r="K42">
        <f>SUM(K3:K41)/39</f>
        <v>15352.428974359</v>
      </c>
      <c r="L42">
        <f>SUM(L3:L41)/39</f>
        <v>366.085769230769</v>
      </c>
    </row>
    <row r="43" spans="1:23">
      <c r="A43" s="12" t="s">
        <v>51</v>
      </c>
      <c r="B43" s="12"/>
      <c r="C43" s="12"/>
      <c r="D43" s="12"/>
      <c r="E43" s="12"/>
      <c r="F43">
        <v>7</v>
      </c>
      <c r="G43">
        <v>8</v>
      </c>
      <c r="J43">
        <v>33</v>
      </c>
      <c r="K43">
        <v>33</v>
      </c>
      <c r="L43" s="24"/>
    </row>
    <row r="44" ht="14.25" spans="1:23">
      <c r="A44" s="4" t="s">
        <v>52</v>
      </c>
      <c r="B44" s="4"/>
      <c r="C44" s="4"/>
      <c r="D44" s="4"/>
      <c r="E44" s="4"/>
      <c r="F44" s="25" cm="1">
        <f t="array" ref="F44">TTEST(F3:F41,J3:J41,2,1)</f>
        <v>0.00755786743608986</v>
      </c>
      <c r="G44" s="25" cm="1">
        <f t="array" ref="G44">TTEST(G3:G41,K3:K41,2,1)</f>
        <v>0.0285743672935381</v>
      </c>
      <c r="H44" s="25"/>
      <c r="I44" s="25"/>
      <c r="J44" s="4"/>
      <c r="K44" s="4"/>
      <c r="L44" s="4"/>
    </row>
    <row r="45" ht="14.25" spans="1:23">
      <c r="L45" s="12"/>
      <c r="M45" s="23"/>
      <c r="N45" s="23"/>
      <c r="O45" s="23"/>
      <c r="P45" s="12"/>
      <c r="Q45" s="13"/>
      <c r="R45" s="13"/>
      <c r="S45" s="13"/>
      <c r="T45" s="13"/>
      <c r="U45" s="26"/>
      <c r="V45" s="26"/>
      <c r="W45" s="26"/>
    </row>
    <row r="46" spans="1:23">
      <c r="L46" s="12"/>
      <c r="M46" s="23"/>
      <c r="N46" s="23"/>
      <c r="O46" s="23"/>
      <c r="P46" s="12"/>
      <c r="Q46" s="26"/>
      <c r="R46" s="26"/>
      <c r="S46" s="13"/>
      <c r="T46" s="13"/>
      <c r="U46" s="26"/>
      <c r="V46" s="26"/>
      <c r="W46" s="26"/>
    </row>
    <row r="47" spans="1:23">
      <c r="L47" s="12"/>
      <c r="M47" s="23"/>
      <c r="N47" s="23"/>
      <c r="O47" s="23"/>
      <c r="P47" s="12"/>
      <c r="Q47" s="13"/>
      <c r="R47" s="13"/>
      <c r="S47" s="13"/>
      <c r="T47" s="13"/>
      <c r="U47" s="26"/>
      <c r="V47" s="26"/>
      <c r="W47" s="26"/>
    </row>
    <row r="48" spans="1:23">
      <c r="L48" s="12"/>
      <c r="M48" s="23"/>
      <c r="N48" s="23"/>
      <c r="O48" s="23"/>
      <c r="P48" s="12"/>
      <c r="Q48" s="13"/>
      <c r="R48" s="13"/>
      <c r="S48" s="13"/>
      <c r="T48" s="13"/>
      <c r="U48" s="26"/>
      <c r="V48" s="26"/>
      <c r="W48" s="26"/>
    </row>
    <row r="49" spans="12:23">
      <c r="L49" s="12"/>
      <c r="M49" s="23"/>
      <c r="N49" s="23"/>
      <c r="O49" s="23"/>
      <c r="P49" s="12"/>
      <c r="Q49" s="13"/>
      <c r="R49" s="13"/>
      <c r="S49" s="13"/>
      <c r="T49" s="13"/>
      <c r="U49" s="26"/>
      <c r="V49" s="26"/>
      <c r="W49" s="26"/>
    </row>
    <row r="50" spans="12:23">
      <c r="L50" s="12"/>
      <c r="M50" s="23"/>
      <c r="N50" s="23"/>
      <c r="O50" s="23"/>
      <c r="P50" s="12"/>
      <c r="Q50" s="26"/>
      <c r="R50" s="26"/>
      <c r="S50" s="13"/>
      <c r="T50" s="13"/>
      <c r="U50" s="26"/>
      <c r="V50" s="26"/>
      <c r="W50" s="26"/>
    </row>
    <row r="51" spans="12:23">
      <c r="L51" s="12"/>
      <c r="M51" s="23"/>
      <c r="N51" s="23"/>
      <c r="O51" s="23"/>
      <c r="P51" s="12"/>
      <c r="Q51" s="13"/>
      <c r="R51" s="13"/>
      <c r="S51" s="13"/>
      <c r="T51" s="13"/>
      <c r="U51" s="26"/>
      <c r="V51" s="26"/>
      <c r="W51" s="26"/>
    </row>
    <row r="52" spans="12:23">
      <c r="L52" s="12"/>
      <c r="M52" s="23"/>
      <c r="N52" s="23"/>
      <c r="O52" s="23"/>
      <c r="P52" s="12"/>
      <c r="Q52" s="13"/>
      <c r="R52" s="13"/>
      <c r="S52" s="13"/>
      <c r="T52" s="13"/>
      <c r="U52" s="26"/>
      <c r="V52" s="26"/>
      <c r="W52" s="26"/>
    </row>
    <row r="53" spans="12:23">
      <c r="L53" s="12"/>
      <c r="M53" s="23"/>
      <c r="N53" s="23"/>
      <c r="O53" s="23"/>
      <c r="P53" s="12"/>
      <c r="Q53" s="13"/>
      <c r="R53" s="13"/>
      <c r="S53" s="13"/>
      <c r="T53" s="13"/>
      <c r="U53" s="26"/>
      <c r="V53" s="26"/>
      <c r="W53" s="26"/>
    </row>
    <row r="54" spans="12:23">
      <c r="L54" s="12"/>
      <c r="M54" s="23"/>
      <c r="N54" s="23"/>
      <c r="O54" s="23"/>
      <c r="P54" s="12"/>
      <c r="Q54" s="13"/>
      <c r="R54" s="13"/>
      <c r="S54" s="13"/>
      <c r="T54" s="13"/>
      <c r="U54" s="26"/>
      <c r="V54" s="26"/>
      <c r="W54" s="26"/>
    </row>
    <row r="55" spans="12:23">
      <c r="L55" s="12"/>
      <c r="M55" s="23"/>
      <c r="N55" s="23"/>
      <c r="O55" s="23"/>
      <c r="P55" s="12"/>
      <c r="Q55" s="13"/>
      <c r="R55" s="13"/>
      <c r="S55" s="13"/>
      <c r="T55" s="13"/>
      <c r="U55" s="26"/>
      <c r="V55" s="26"/>
      <c r="W55" s="26"/>
    </row>
    <row r="56" spans="12:23">
      <c r="L56" s="12"/>
      <c r="M56" s="23"/>
      <c r="N56" s="23"/>
      <c r="O56" s="23"/>
      <c r="P56" s="12"/>
      <c r="Q56" s="13"/>
      <c r="R56" s="13"/>
      <c r="S56" s="13"/>
      <c r="T56" s="13"/>
      <c r="U56" s="26"/>
      <c r="V56" s="26"/>
      <c r="W56" s="26"/>
    </row>
    <row r="57" spans="12:23">
      <c r="L57" s="12"/>
      <c r="M57" s="23"/>
      <c r="N57" s="23"/>
      <c r="O57" s="23"/>
      <c r="P57" s="12"/>
      <c r="Q57" s="13"/>
      <c r="R57" s="13"/>
      <c r="S57" s="13"/>
      <c r="T57" s="13"/>
      <c r="U57" s="26"/>
      <c r="V57" s="26"/>
      <c r="W57" s="26"/>
    </row>
    <row r="58" spans="12:23">
      <c r="L58" s="12"/>
      <c r="M58" s="23"/>
      <c r="N58" s="23"/>
      <c r="O58" s="23"/>
      <c r="P58" s="12"/>
      <c r="Q58" s="26"/>
      <c r="R58" s="26"/>
      <c r="S58" s="13"/>
      <c r="T58" s="13"/>
      <c r="U58" s="26"/>
      <c r="V58" s="26"/>
      <c r="W58" s="26"/>
    </row>
    <row r="59" spans="12:23">
      <c r="L59" s="12"/>
      <c r="M59" s="23"/>
      <c r="N59" s="23"/>
      <c r="O59" s="23"/>
      <c r="P59" s="12"/>
      <c r="Q59" s="13"/>
      <c r="R59" s="13"/>
      <c r="S59" s="13"/>
      <c r="T59" s="13"/>
      <c r="U59" s="26"/>
      <c r="V59" s="26"/>
      <c r="W59" s="26"/>
    </row>
    <row r="60" spans="12:23">
      <c r="L60" s="12"/>
      <c r="M60" s="23"/>
      <c r="N60" s="23"/>
      <c r="O60" s="23"/>
      <c r="P60" s="12"/>
      <c r="Q60" s="13"/>
      <c r="R60" s="13"/>
      <c r="S60" s="13"/>
      <c r="T60" s="13"/>
      <c r="U60" s="26"/>
      <c r="V60" s="26"/>
      <c r="W60" s="26"/>
    </row>
    <row r="61" spans="12:23">
      <c r="L61" s="12"/>
      <c r="M61" s="23"/>
      <c r="N61" s="23"/>
      <c r="O61" s="23"/>
      <c r="P61" s="12"/>
      <c r="Q61" s="13"/>
      <c r="R61" s="13"/>
      <c r="S61" s="13"/>
      <c r="T61" s="13"/>
      <c r="U61" s="26"/>
      <c r="V61" s="26"/>
      <c r="W61" s="26"/>
    </row>
    <row r="62" ht="14.25" spans="12:23">
      <c r="L62" s="4"/>
      <c r="M62" s="27"/>
      <c r="N62" s="27"/>
      <c r="O62" s="27"/>
      <c r="P62" s="4"/>
      <c r="Q62" s="28"/>
      <c r="R62" s="28"/>
      <c r="S62" s="28"/>
      <c r="T62" s="28"/>
      <c r="U62" s="29"/>
      <c r="V62" s="29"/>
      <c r="W62" s="29"/>
    </row>
    <row r="63" ht="14.25" spans="12:23">
      <c r="L63" s="12"/>
      <c r="M63" s="12"/>
      <c r="N63" s="23"/>
      <c r="O63" s="23"/>
      <c r="P63" s="12"/>
      <c r="Q63" s="13"/>
      <c r="R63" s="13"/>
      <c r="S63" s="13"/>
      <c r="T63" s="13"/>
      <c r="U63" s="26"/>
      <c r="V63" s="26"/>
      <c r="W63" s="26"/>
    </row>
    <row r="64" spans="12:23">
      <c r="L64" s="12"/>
      <c r="M64" s="12"/>
      <c r="N64" s="12"/>
      <c r="O64" s="12"/>
      <c r="P64" s="12"/>
      <c r="Q64" s="12"/>
      <c r="R64" s="12"/>
      <c r="S64" s="12"/>
      <c r="T64" s="12"/>
      <c r="U64" s="24"/>
      <c r="V64" s="24"/>
      <c r="W64" s="24"/>
    </row>
    <row r="65" ht="14.25" spans="12:23">
      <c r="L65" s="4"/>
      <c r="M65" s="4"/>
      <c r="N65" s="4"/>
      <c r="O65" s="4"/>
      <c r="P65" s="4"/>
      <c r="Q65" s="25"/>
      <c r="R65" s="25"/>
      <c r="S65" s="25"/>
      <c r="T65" s="25"/>
      <c r="U65" s="4"/>
      <c r="V65" s="4"/>
      <c r="W65" s="4"/>
    </row>
    <row r="66" ht="14.25"/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11628</dc:creator>
  <cp:lastModifiedBy>WPS_1698748137</cp:lastModifiedBy>
  <dcterms:created xsi:type="dcterms:W3CDTF">2025-11-20T03:43:00Z</dcterms:created>
  <dcterms:modified xsi:type="dcterms:W3CDTF">2025-12-26T01:35:02Z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2F55787A17724EF2B62F256FE9F8C904_11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